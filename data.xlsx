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49176\OneDrive\Desktop\Project practice 29.01.26\Project 01\"/>
    </mc:Choice>
  </mc:AlternateContent>
  <xr:revisionPtr revIDLastSave="0" documentId="13_ncr:1_{2E17793B-D089-4329-BAF5-78356D24B5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ecutive_Dashboard" sheetId="3" r:id="rId1"/>
    <sheet name="Source_Data" sheetId="2" r:id="rId2"/>
  </sheets>
  <definedNames>
    <definedName name="ExternalData_1" localSheetId="1" hidden="1">Source_Data!$A$1:$E$16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" l="1"/>
  <c r="H5" i="3"/>
  <c r="H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B395CE-E525-4B11-8321-A60E90B0737E}" keepAlive="1" name="Query - sales_data_raw" description="Connection to the 'sales_data_raw' query in the workbook." type="5" refreshedVersion="8" background="1" saveData="1">
    <dbPr connection="Provider=Microsoft.Mashup.OleDb.1;Data Source=$Workbook$;Location=sales_data_raw;Extended Properties=&quot;&quot;" command="SELECT * FROM [sales_data_raw]"/>
  </connection>
</connections>
</file>

<file path=xl/sharedStrings.xml><?xml version="1.0" encoding="utf-8"?>
<sst xmlns="http://schemas.openxmlformats.org/spreadsheetml/2006/main" count="64" uniqueCount="33">
  <si>
    <t>Date</t>
  </si>
  <si>
    <t>Transaction_ID</t>
  </si>
  <si>
    <t>Device</t>
  </si>
  <si>
    <t>Transaction_Status</t>
  </si>
  <si>
    <t>Revenue_EUR</t>
  </si>
  <si>
    <t>TXN101</t>
  </si>
  <si>
    <t>Desktop</t>
  </si>
  <si>
    <t>Success</t>
  </si>
  <si>
    <t>TXN102</t>
  </si>
  <si>
    <t>Mobile</t>
  </si>
  <si>
    <t>Payment_Failed</t>
  </si>
  <si>
    <t>TXN103</t>
  </si>
  <si>
    <t>TXN104</t>
  </si>
  <si>
    <t>TXN105</t>
  </si>
  <si>
    <t>TXN106</t>
  </si>
  <si>
    <t>TXN107</t>
  </si>
  <si>
    <t>TXN108</t>
  </si>
  <si>
    <t>TXN109</t>
  </si>
  <si>
    <t>TXN110</t>
  </si>
  <si>
    <t>TXN111</t>
  </si>
  <si>
    <t>TXN112</t>
  </si>
  <si>
    <t>TXN113</t>
  </si>
  <si>
    <t>TXN114</t>
  </si>
  <si>
    <t>TXN115</t>
  </si>
  <si>
    <t>Row Labels</t>
  </si>
  <si>
    <t>Grand Total</t>
  </si>
  <si>
    <t>Column Labels</t>
  </si>
  <si>
    <t>Count of Transaction_ID</t>
  </si>
  <si>
    <t>Metric</t>
  </si>
  <si>
    <t>Failed Mobile Transactions</t>
  </si>
  <si>
    <t>Avg. Order value(Desktop)</t>
  </si>
  <si>
    <t>Estimated Weekly Loss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</si>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</sst>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2" fillId="2" borderId="1" xfId="0" applyFont="1" applyFill="1" applyBorder="1"/>
    <xf numFmtId="44" fontId="0" fillId="0" borderId="1" xfId="1" applyFont="1" applyBorder="1"/>
  </cellXfs>
  <cellStyles count="2">
    <cellStyle name="Currency" xfId="1" builtinId="4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[Data.xlsx]Executive_Dashboard!PivotTable1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Executive_Dashboard!$B$3:$B$4</c:f>
              <c:strCache>
                <c:ptCount val="1"/>
                <c:pt idx="0">
                  <c:v>Payment_Failed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Executive_Dashboard!$A$5:$A$7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Executive_Dashboard!$B$5:$B$7</c:f>
              <c:numCache>
                <c:formatCode>General</c:formatCode>
                <c:ptCount val="2"/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A-4466-B29B-2514C07BD331}"/>
            </c:ext>
          </c:extLst>
        </c:ser>
        <c:ser>
          <c:idx val="1"/>
          <c:order val="1"/>
          <c:tx>
            <c:strRef>
              <c:f>Executive_Dashboard!$C$3:$C$4</c:f>
              <c:strCache>
                <c:ptCount val="1"/>
                <c:pt idx="0">
                  <c:v>Success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Executive_Dashboard!$A$5:$A$7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Executive_Dashboard!$C$5:$C$7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7A-4466-B29B-2514C07BD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298096"/>
        <c:axId val="1294287536"/>
      </c:barChart>
      <c:catAx>
        <c:axId val="129429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94287536"/>
        <c:crosses val="autoZero"/>
        <c:auto val="1"/>
        <c:lblAlgn val="ctr"/>
        <c:lblOffset val="100"/>
        <c:noMultiLvlLbl val="0"/>
      </c:catAx>
      <c:valAx>
        <c:axId val="129428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9429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8</xdr:row>
      <xdr:rowOff>57151</xdr:rowOff>
    </xdr:from>
    <xdr:to>
      <xdr:col>3</xdr:col>
      <xdr:colOff>276225</xdr:colOff>
      <xdr:row>22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187EF-EC3E-84A8-5A87-D2523133D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igdha Nath" refreshedDate="46051.527467476852" createdVersion="8" refreshedVersion="8" minRefreshableVersion="3" recordCount="15" xr:uid="{48303D9B-6F9B-432A-82F4-D859A8D97737}">
  <cacheSource type="worksheet">
    <worksheetSource name="sales_data_raw"/>
  </cacheSource>
  <cacheFields count="5">
    <cacheField name="Date" numFmtId="14">
      <sharedItems containsSemiMixedTypes="0" containsNonDate="0" containsDate="1" containsString="0" minDate="2026-01-01T00:00:00" maxDate="2026-01-06T00:00:00"/>
    </cacheField>
    <cacheField name="Transaction_ID" numFmtId="0">
      <sharedItems count="15">
        <s v="TXN101"/>
        <s v="TXN102"/>
        <s v="TXN103"/>
        <s v="TXN104"/>
        <s v="TXN105"/>
        <s v="TXN106"/>
        <s v="TXN107"/>
        <s v="TXN108"/>
        <s v="TXN109"/>
        <s v="TXN110"/>
        <s v="TXN111"/>
        <s v="TXN112"/>
        <s v="TXN113"/>
        <s v="TXN114"/>
        <s v="TXN115"/>
      </sharedItems>
    </cacheField>
    <cacheField name="Device" numFmtId="0">
      <sharedItems count="2">
        <s v="Desktop"/>
        <s v="Mobile"/>
      </sharedItems>
    </cacheField>
    <cacheField name="Transaction_Status" numFmtId="0">
      <sharedItems count="2">
        <s v="Success"/>
        <s v="Payment_Failed"/>
      </sharedItems>
    </cacheField>
    <cacheField name="Revenue_EUR" numFmtId="0">
      <sharedItems containsSemiMixedTypes="0" containsString="0" containsNumber="1" minValue="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6-01-01T00:00:00"/>
    <x v="0"/>
    <x v="0"/>
    <x v="0"/>
    <n v="50"/>
  </r>
  <r>
    <d v="2026-01-01T00:00:00"/>
    <x v="1"/>
    <x v="1"/>
    <x v="1"/>
    <n v="0"/>
  </r>
  <r>
    <d v="2026-01-01T00:00:00"/>
    <x v="2"/>
    <x v="1"/>
    <x v="0"/>
    <n v="35.5"/>
  </r>
  <r>
    <d v="2026-01-02T00:00:00"/>
    <x v="3"/>
    <x v="0"/>
    <x v="0"/>
    <n v="120"/>
  </r>
  <r>
    <d v="2026-01-02T00:00:00"/>
    <x v="4"/>
    <x v="1"/>
    <x v="1"/>
    <n v="0"/>
  </r>
  <r>
    <d v="2026-01-02T00:00:00"/>
    <x v="5"/>
    <x v="1"/>
    <x v="1"/>
    <n v="0"/>
  </r>
  <r>
    <d v="2026-01-03T00:00:00"/>
    <x v="6"/>
    <x v="0"/>
    <x v="0"/>
    <n v="45"/>
  </r>
  <r>
    <d v="2026-01-03T00:00:00"/>
    <x v="7"/>
    <x v="1"/>
    <x v="0"/>
    <n v="25"/>
  </r>
  <r>
    <d v="2026-01-03T00:00:00"/>
    <x v="8"/>
    <x v="1"/>
    <x v="1"/>
    <n v="0"/>
  </r>
  <r>
    <d v="2026-01-04T00:00:00"/>
    <x v="9"/>
    <x v="0"/>
    <x v="0"/>
    <n v="80"/>
  </r>
  <r>
    <d v="2026-01-04T00:00:00"/>
    <x v="10"/>
    <x v="1"/>
    <x v="1"/>
    <n v="0"/>
  </r>
  <r>
    <d v="2026-01-04T00:00:00"/>
    <x v="11"/>
    <x v="0"/>
    <x v="0"/>
    <n v="65"/>
  </r>
  <r>
    <d v="2026-01-05T00:00:00"/>
    <x v="12"/>
    <x v="1"/>
    <x v="1"/>
    <n v="0"/>
  </r>
  <r>
    <d v="2026-01-05T00:00:00"/>
    <x v="13"/>
    <x v="1"/>
    <x v="0"/>
    <n v="40"/>
  </r>
  <r>
    <d v="2026-01-05T00:00:00"/>
    <x v="14"/>
    <x v="1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2DF4E-F3D4-49B8-B956-1424BF7BBE7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" firstHeaderRow="1" firstDataRow="2" firstDataCol="1"/>
  <pivotFields count="5">
    <pivotField numFmtId="14" showAll="0"/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Transaction_ID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1B0339-4D97-4DCF-B162-A4155C049474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Transaction_ID" tableColumnId="2"/>
      <queryTableField id="3" name="Device" tableColumnId="3"/>
      <queryTableField id="4" name="Transaction_Status" tableColumnId="4"/>
      <queryTableField id="5" name="Revenue_EU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438EB-63D8-4D23-99D1-78DAF1A2938C}" name="sales_data_raw" displayName="sales_data_raw" ref="A1:E16" tableType="queryTable" totalsRowShown="0">
  <autoFilter ref="A1:E16" xr:uid="{987438EB-63D8-4D23-99D1-78DAF1A2938C}"/>
  <tableColumns count="5">
    <tableColumn id="1" xr3:uid="{A6129CE5-1E02-4F95-AC4B-A9EFF7F75177}" uniqueName="1" name="Date" queryTableFieldId="1" dataDxfId="3"/>
    <tableColumn id="2" xr3:uid="{1AA5C034-02A4-4BAE-91E3-E5E8A16664D2}" uniqueName="2" name="Transaction_ID" queryTableFieldId="2" dataDxfId="2"/>
    <tableColumn id="3" xr3:uid="{F77568E5-D396-48FE-A00D-D2693B121013}" uniqueName="3" name="Device" queryTableFieldId="3" dataDxfId="1"/>
    <tableColumn id="4" xr3:uid="{613E6FF7-B45D-41C0-BEA7-8F6C84339D2C}" uniqueName="4" name="Transaction_Status" queryTableFieldId="4" dataDxfId="0"/>
    <tableColumn id="5" xr3:uid="{B9AF6059-FE28-4C20-BAAC-1DE3183D7260}" uniqueName="5" name="Revenue_EU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4A63-B7D9-40FC-82E1-948983D3CAD6}">
  <dimension ref="A3:H7"/>
  <sheetViews>
    <sheetView tabSelected="1" workbookViewId="0">
      <selection activeCell="E26" sqref="E26"/>
    </sheetView>
  </sheetViews>
  <sheetFormatPr defaultRowHeight="15" x14ac:dyDescent="0.25"/>
  <cols>
    <col min="1" max="1" width="22.42578125" bestFit="1" customWidth="1"/>
    <col min="2" max="2" width="16.28515625" bestFit="1" customWidth="1"/>
    <col min="3" max="3" width="7.7109375" bestFit="1" customWidth="1"/>
    <col min="4" max="4" width="11.28515625" bestFit="1" customWidth="1"/>
    <col min="5" max="6" width="7.5703125" bestFit="1" customWidth="1"/>
    <col min="7" max="7" width="25" bestFit="1" customWidth="1"/>
    <col min="8" max="8" width="9" bestFit="1" customWidth="1"/>
    <col min="9" max="16" width="7.5703125" bestFit="1" customWidth="1"/>
    <col min="17" max="17" width="11.28515625" bestFit="1" customWidth="1"/>
  </cols>
  <sheetData>
    <row r="3" spans="1:8" x14ac:dyDescent="0.25">
      <c r="A3" s="3" t="s">
        <v>27</v>
      </c>
      <c r="B3" s="3" t="s">
        <v>26</v>
      </c>
      <c r="G3" s="6" t="s">
        <v>28</v>
      </c>
      <c r="H3" s="6" t="s">
        <v>32</v>
      </c>
    </row>
    <row r="4" spans="1:8" x14ac:dyDescent="0.25">
      <c r="A4" s="3" t="s">
        <v>24</v>
      </c>
      <c r="B4" t="s">
        <v>10</v>
      </c>
      <c r="C4" t="s">
        <v>7</v>
      </c>
      <c r="D4" t="s">
        <v>25</v>
      </c>
      <c r="G4" s="5" t="s">
        <v>29</v>
      </c>
      <c r="H4" s="5">
        <f>GETPIVOTDATA("Transaction_ID",$A$3,"Device","Mobile","Transaction_Status","Payment_Failed")</f>
        <v>7</v>
      </c>
    </row>
    <row r="5" spans="1:8" x14ac:dyDescent="0.25">
      <c r="A5" s="4" t="s">
        <v>6</v>
      </c>
      <c r="B5" s="2"/>
      <c r="C5" s="2">
        <v>5</v>
      </c>
      <c r="D5" s="2">
        <v>5</v>
      </c>
      <c r="G5" s="5" t="s">
        <v>30</v>
      </c>
      <c r="H5" s="7">
        <f>AVERAGEIFS(Source_Data!E:E, Source_Data!C:C, "Desktop", Source_Data!D:D, "Success")</f>
        <v>72</v>
      </c>
    </row>
    <row r="6" spans="1:8" x14ac:dyDescent="0.25">
      <c r="A6" s="4" t="s">
        <v>9</v>
      </c>
      <c r="B6" s="2">
        <v>7</v>
      </c>
      <c r="C6" s="2">
        <v>3</v>
      </c>
      <c r="D6" s="2">
        <v>10</v>
      </c>
      <c r="G6" s="5" t="s">
        <v>31</v>
      </c>
      <c r="H6" s="7">
        <f>H5*H4</f>
        <v>504</v>
      </c>
    </row>
    <row r="7" spans="1:8" x14ac:dyDescent="0.25">
      <c r="A7" s="4" t="s">
        <v>25</v>
      </c>
      <c r="B7" s="2">
        <v>7</v>
      </c>
      <c r="C7" s="2">
        <v>8</v>
      </c>
      <c r="D7" s="2">
        <v>15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C1DE-F756-41FB-8377-EC2B14CD1DE2}">
  <dimension ref="A1:E16"/>
  <sheetViews>
    <sheetView workbookViewId="0">
      <selection sqref="A1:E16"/>
    </sheetView>
  </sheetViews>
  <sheetFormatPr defaultRowHeight="15" x14ac:dyDescent="0.25"/>
  <cols>
    <col min="1" max="1" width="8.7109375" bestFit="1" customWidth="1"/>
    <col min="2" max="2" width="16.42578125" bestFit="1" customWidth="1"/>
    <col min="3" max="3" width="9.28515625" bestFit="1" customWidth="1"/>
    <col min="4" max="4" width="20.140625" bestFit="1" customWidth="1"/>
    <col min="5" max="5" width="15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46023</v>
      </c>
      <c r="B2" s="2" t="s">
        <v>5</v>
      </c>
      <c r="C2" s="2" t="s">
        <v>6</v>
      </c>
      <c r="D2" s="2" t="s">
        <v>7</v>
      </c>
      <c r="E2">
        <v>50</v>
      </c>
    </row>
    <row r="3" spans="1:5" x14ac:dyDescent="0.25">
      <c r="A3" s="1">
        <v>46023</v>
      </c>
      <c r="B3" s="2" t="s">
        <v>8</v>
      </c>
      <c r="C3" s="2" t="s">
        <v>9</v>
      </c>
      <c r="D3" s="2" t="s">
        <v>10</v>
      </c>
      <c r="E3">
        <v>0</v>
      </c>
    </row>
    <row r="4" spans="1:5" x14ac:dyDescent="0.25">
      <c r="A4" s="1">
        <v>46023</v>
      </c>
      <c r="B4" s="2" t="s">
        <v>11</v>
      </c>
      <c r="C4" s="2" t="s">
        <v>9</v>
      </c>
      <c r="D4" s="2" t="s">
        <v>7</v>
      </c>
      <c r="E4">
        <v>35.5</v>
      </c>
    </row>
    <row r="5" spans="1:5" x14ac:dyDescent="0.25">
      <c r="A5" s="1">
        <v>46024</v>
      </c>
      <c r="B5" s="2" t="s">
        <v>12</v>
      </c>
      <c r="C5" s="2" t="s">
        <v>6</v>
      </c>
      <c r="D5" s="2" t="s">
        <v>7</v>
      </c>
      <c r="E5">
        <v>120</v>
      </c>
    </row>
    <row r="6" spans="1:5" x14ac:dyDescent="0.25">
      <c r="A6" s="1">
        <v>46024</v>
      </c>
      <c r="B6" s="2" t="s">
        <v>13</v>
      </c>
      <c r="C6" s="2" t="s">
        <v>9</v>
      </c>
      <c r="D6" s="2" t="s">
        <v>10</v>
      </c>
      <c r="E6">
        <v>0</v>
      </c>
    </row>
    <row r="7" spans="1:5" x14ac:dyDescent="0.25">
      <c r="A7" s="1">
        <v>46024</v>
      </c>
      <c r="B7" s="2" t="s">
        <v>14</v>
      </c>
      <c r="C7" s="2" t="s">
        <v>9</v>
      </c>
      <c r="D7" s="2" t="s">
        <v>10</v>
      </c>
      <c r="E7">
        <v>0</v>
      </c>
    </row>
    <row r="8" spans="1:5" x14ac:dyDescent="0.25">
      <c r="A8" s="1">
        <v>46025</v>
      </c>
      <c r="B8" s="2" t="s">
        <v>15</v>
      </c>
      <c r="C8" s="2" t="s">
        <v>6</v>
      </c>
      <c r="D8" s="2" t="s">
        <v>7</v>
      </c>
      <c r="E8">
        <v>45</v>
      </c>
    </row>
    <row r="9" spans="1:5" x14ac:dyDescent="0.25">
      <c r="A9" s="1">
        <v>46025</v>
      </c>
      <c r="B9" s="2" t="s">
        <v>16</v>
      </c>
      <c r="C9" s="2" t="s">
        <v>9</v>
      </c>
      <c r="D9" s="2" t="s">
        <v>7</v>
      </c>
      <c r="E9">
        <v>25</v>
      </c>
    </row>
    <row r="10" spans="1:5" x14ac:dyDescent="0.25">
      <c r="A10" s="1">
        <v>46025</v>
      </c>
      <c r="B10" s="2" t="s">
        <v>17</v>
      </c>
      <c r="C10" s="2" t="s">
        <v>9</v>
      </c>
      <c r="D10" s="2" t="s">
        <v>10</v>
      </c>
      <c r="E10">
        <v>0</v>
      </c>
    </row>
    <row r="11" spans="1:5" x14ac:dyDescent="0.25">
      <c r="A11" s="1">
        <v>46026</v>
      </c>
      <c r="B11" s="2" t="s">
        <v>18</v>
      </c>
      <c r="C11" s="2" t="s">
        <v>6</v>
      </c>
      <c r="D11" s="2" t="s">
        <v>7</v>
      </c>
      <c r="E11">
        <v>80</v>
      </c>
    </row>
    <row r="12" spans="1:5" x14ac:dyDescent="0.25">
      <c r="A12" s="1">
        <v>46026</v>
      </c>
      <c r="B12" s="2" t="s">
        <v>19</v>
      </c>
      <c r="C12" s="2" t="s">
        <v>9</v>
      </c>
      <c r="D12" s="2" t="s">
        <v>10</v>
      </c>
      <c r="E12">
        <v>0</v>
      </c>
    </row>
    <row r="13" spans="1:5" x14ac:dyDescent="0.25">
      <c r="A13" s="1">
        <v>46026</v>
      </c>
      <c r="B13" s="2" t="s">
        <v>20</v>
      </c>
      <c r="C13" s="2" t="s">
        <v>6</v>
      </c>
      <c r="D13" s="2" t="s">
        <v>7</v>
      </c>
      <c r="E13">
        <v>65</v>
      </c>
    </row>
    <row r="14" spans="1:5" x14ac:dyDescent="0.25">
      <c r="A14" s="1">
        <v>46027</v>
      </c>
      <c r="B14" s="2" t="s">
        <v>21</v>
      </c>
      <c r="C14" s="2" t="s">
        <v>9</v>
      </c>
      <c r="D14" s="2" t="s">
        <v>10</v>
      </c>
      <c r="E14">
        <v>0</v>
      </c>
    </row>
    <row r="15" spans="1:5" x14ac:dyDescent="0.25">
      <c r="A15" s="1">
        <v>46027</v>
      </c>
      <c r="B15" s="2" t="s">
        <v>22</v>
      </c>
      <c r="C15" s="2" t="s">
        <v>9</v>
      </c>
      <c r="D15" s="2" t="s">
        <v>7</v>
      </c>
      <c r="E15">
        <v>40</v>
      </c>
    </row>
    <row r="16" spans="1:5" x14ac:dyDescent="0.25">
      <c r="A16" s="1">
        <v>46027</v>
      </c>
      <c r="B16" s="2" t="s">
        <v>23</v>
      </c>
      <c r="C16" s="2" t="s">
        <v>9</v>
      </c>
      <c r="D16" s="2" t="s">
        <v>10</v>
      </c>
      <c r="E16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8558BE-AD4C-4248-A886-D8771ADE65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Executive_Dashboard</vt:lpstr>
      <vt:lpstr>Source_Data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Nath</dc:creator>
  <cp:lastModifiedBy>Snigdha Nath</cp:lastModifiedBy>
  <dcterms:created xsi:type="dcterms:W3CDTF">2015-06-05T18:17:20Z</dcterms:created>
  <dcterms:modified xsi:type="dcterms:W3CDTF">2026-01-29T17:40:16Z</dcterms:modified>
</cp:coreProperties>
</file>